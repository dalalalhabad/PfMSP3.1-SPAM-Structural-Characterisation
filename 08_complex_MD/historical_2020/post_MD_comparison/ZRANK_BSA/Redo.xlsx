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"/>
    </mc:Choice>
  </mc:AlternateContent>
  <xr:revisionPtr revIDLastSave="0" documentId="13_ncr:1_{C5249791-F81A-EB48-8FA1-A9B08E2974BA}" xr6:coauthVersionLast="45" xr6:coauthVersionMax="45" xr10:uidLastSave="{00000000-0000-0000-0000-000000000000}"/>
  <bookViews>
    <workbookView xWindow="7400" yWindow="460" windowWidth="36520" windowHeight="14660" xr2:uid="{DDE9CBD9-5E93-6A42-A735-A4C41F23BF5D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4" i="4" l="1"/>
  <c r="P14" i="4" s="1"/>
  <c r="N10" i="4"/>
  <c r="P10" i="4" s="1"/>
  <c r="N6" i="4"/>
  <c r="P6" i="4" s="1"/>
  <c r="N2" i="4"/>
  <c r="P2" i="4" s="1"/>
  <c r="D2" i="4" l="1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3" i="4"/>
</calcChain>
</file>

<file path=xl/sharedStrings.xml><?xml version="1.0" encoding="utf-8"?>
<sst xmlns="http://schemas.openxmlformats.org/spreadsheetml/2006/main" count="32" uniqueCount="30">
  <si>
    <t>1266_100ns</t>
  </si>
  <si>
    <t>1266_200ns</t>
  </si>
  <si>
    <t>1266_250ns</t>
  </si>
  <si>
    <t>1266_50ns</t>
  </si>
  <si>
    <t>2_100ns</t>
  </si>
  <si>
    <t>2_200ns</t>
  </si>
  <si>
    <t>2_250ns</t>
  </si>
  <si>
    <t>2_50ns</t>
  </si>
  <si>
    <t>499_100ns</t>
  </si>
  <si>
    <t>499_200ns</t>
  </si>
  <si>
    <t>499_250ns</t>
  </si>
  <si>
    <t>74_100ns</t>
  </si>
  <si>
    <t>74_200ns</t>
  </si>
  <si>
    <t>74_250ns</t>
  </si>
  <si>
    <t>74_50ns</t>
  </si>
  <si>
    <t>Ligand</t>
  </si>
  <si>
    <t>L+R</t>
  </si>
  <si>
    <t>Complex</t>
  </si>
  <si>
    <t>BSA</t>
  </si>
  <si>
    <t>Receptors</t>
  </si>
  <si>
    <t>#Complex_after MD</t>
  </si>
  <si>
    <t>#Complex_Before MD</t>
  </si>
  <si>
    <t>1266_Nova</t>
  </si>
  <si>
    <t>499_Nova</t>
  </si>
  <si>
    <t>2_Nova</t>
  </si>
  <si>
    <t>74_Nova</t>
  </si>
  <si>
    <t>499_50ns</t>
  </si>
  <si>
    <t>L</t>
  </si>
  <si>
    <t>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</si>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</sst>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3710-E82D-4166-8470-632B7829E934}">
  <dimension ref="A1:P17"/>
  <sheetViews>
    <sheetView tabSelected="1" workbookViewId="0">
      <selection activeCell="F19" sqref="F19"/>
    </sheetView>
  </sheetViews>
  <sheetFormatPr baseColWidth="10" defaultColWidth="8.83203125" defaultRowHeight="16" x14ac:dyDescent="0.2"/>
  <cols>
    <col min="1" max="1" width="29.1640625" customWidth="1"/>
    <col min="2" max="2" width="15.1640625" customWidth="1"/>
    <col min="3" max="3" width="23.83203125" customWidth="1"/>
    <col min="4" max="4" width="28" customWidth="1"/>
    <col min="5" max="5" width="19.5" customWidth="1"/>
    <col min="6" max="6" width="17" customWidth="1"/>
    <col min="11" max="11" width="34.5" customWidth="1"/>
    <col min="12" max="12" width="15.33203125" customWidth="1"/>
    <col min="13" max="13" width="18.1640625" customWidth="1"/>
    <col min="14" max="14" width="15" customWidth="1"/>
    <col min="15" max="15" width="16.1640625" customWidth="1"/>
    <col min="16" max="16" width="16.6640625" customWidth="1"/>
  </cols>
  <sheetData>
    <row r="1" spans="1:16" ht="24" x14ac:dyDescent="0.3">
      <c r="A1" s="1" t="s">
        <v>20</v>
      </c>
      <c r="B1" s="1" t="s">
        <v>15</v>
      </c>
      <c r="C1" s="1" t="s">
        <v>19</v>
      </c>
      <c r="D1" s="1" t="s">
        <v>16</v>
      </c>
      <c r="E1" s="1" t="s">
        <v>17</v>
      </c>
      <c r="F1" s="1" t="s">
        <v>18</v>
      </c>
      <c r="H1" s="7"/>
      <c r="I1" s="7"/>
      <c r="K1" s="1" t="s">
        <v>21</v>
      </c>
      <c r="L1" s="1" t="s">
        <v>27</v>
      </c>
      <c r="M1" s="1" t="s">
        <v>28</v>
      </c>
      <c r="N1" s="1" t="s">
        <v>16</v>
      </c>
      <c r="O1" s="1" t="s">
        <v>29</v>
      </c>
      <c r="P1" s="1" t="s">
        <v>18</v>
      </c>
    </row>
    <row r="2" spans="1:16" ht="24" x14ac:dyDescent="0.3">
      <c r="A2" s="1" t="s">
        <v>0</v>
      </c>
      <c r="B2" s="3">
        <v>18803.5</v>
      </c>
      <c r="C2" s="1">
        <v>9657.9</v>
      </c>
      <c r="D2" s="1">
        <f>SUM(B2,C2)</f>
        <v>28461.4</v>
      </c>
      <c r="E2" s="2">
        <v>27034.799999999999</v>
      </c>
      <c r="F2" s="1">
        <f>D2-E2</f>
        <v>1426.6000000000022</v>
      </c>
      <c r="H2" s="7"/>
      <c r="I2" s="7"/>
      <c r="K2" s="1" t="s">
        <v>22</v>
      </c>
      <c r="L2" s="8">
        <v>9402.1</v>
      </c>
      <c r="M2" s="8">
        <v>17304.7</v>
      </c>
      <c r="N2" s="8">
        <f t="shared" ref="N2" si="0">SUM(L2,M2)</f>
        <v>26706.800000000003</v>
      </c>
      <c r="O2" s="8">
        <v>24070.400000000001</v>
      </c>
      <c r="P2" s="9">
        <f t="shared" ref="P2" si="1">N2-O2</f>
        <v>2636.4000000000015</v>
      </c>
    </row>
    <row r="3" spans="1:16" ht="24" x14ac:dyDescent="0.3">
      <c r="A3" s="1" t="s">
        <v>1</v>
      </c>
      <c r="B3" s="3">
        <v>18101</v>
      </c>
      <c r="C3" s="1">
        <v>9455.9</v>
      </c>
      <c r="D3" s="1">
        <f>SUM(B3,C3)</f>
        <v>27556.9</v>
      </c>
      <c r="E3" s="2">
        <v>26146.2</v>
      </c>
      <c r="F3" s="1">
        <f t="shared" ref="F3:F17" si="2">D3-E3</f>
        <v>1410.7000000000007</v>
      </c>
      <c r="H3" s="7"/>
      <c r="I3" s="7"/>
      <c r="K3" s="1"/>
      <c r="L3" s="8"/>
      <c r="M3" s="8"/>
      <c r="N3" s="8"/>
      <c r="O3" s="8"/>
      <c r="P3" s="9"/>
    </row>
    <row r="4" spans="1:16" ht="24" x14ac:dyDescent="0.3">
      <c r="A4" s="4" t="s">
        <v>2</v>
      </c>
      <c r="B4" s="5">
        <v>18769.400000000001</v>
      </c>
      <c r="C4" s="4">
        <v>10024.700000000001</v>
      </c>
      <c r="D4" s="4">
        <f t="shared" ref="D4:D17" si="3">SUM(B4,C4)</f>
        <v>28794.100000000002</v>
      </c>
      <c r="E4" s="6">
        <v>27248</v>
      </c>
      <c r="F4" s="4">
        <f t="shared" si="2"/>
        <v>1546.1000000000022</v>
      </c>
      <c r="H4" s="7"/>
      <c r="I4" s="7"/>
      <c r="K4" s="1"/>
      <c r="L4" s="8"/>
      <c r="M4" s="8"/>
      <c r="N4" s="8"/>
      <c r="O4" s="8"/>
      <c r="P4" s="9"/>
    </row>
    <row r="5" spans="1:16" ht="24" x14ac:dyDescent="0.3">
      <c r="A5" s="1" t="s">
        <v>3</v>
      </c>
      <c r="B5" s="3">
        <v>18490</v>
      </c>
      <c r="C5" s="1">
        <v>9631.7999999999993</v>
      </c>
      <c r="D5" s="1">
        <f t="shared" si="3"/>
        <v>28121.8</v>
      </c>
      <c r="E5" s="2">
        <v>26636.1</v>
      </c>
      <c r="F5" s="1">
        <f t="shared" si="2"/>
        <v>1485.7000000000007</v>
      </c>
      <c r="H5" s="7"/>
      <c r="I5" s="7"/>
      <c r="K5" s="1"/>
      <c r="L5" s="8"/>
      <c r="M5" s="8"/>
      <c r="N5" s="8"/>
      <c r="O5" s="8"/>
      <c r="P5" s="9"/>
    </row>
    <row r="6" spans="1:16" ht="24" x14ac:dyDescent="0.3">
      <c r="A6" s="1" t="s">
        <v>4</v>
      </c>
      <c r="B6" s="3">
        <v>18401.099999999999</v>
      </c>
      <c r="C6" s="1">
        <v>9459.9</v>
      </c>
      <c r="D6" s="1">
        <f t="shared" si="3"/>
        <v>27861</v>
      </c>
      <c r="E6" s="2">
        <v>25710</v>
      </c>
      <c r="F6" s="1">
        <f t="shared" si="2"/>
        <v>2151</v>
      </c>
      <c r="H6" s="7"/>
      <c r="I6" s="7"/>
      <c r="K6" s="1" t="s">
        <v>24</v>
      </c>
      <c r="L6" s="8">
        <v>9529.4</v>
      </c>
      <c r="M6" s="8">
        <v>17545.400000000001</v>
      </c>
      <c r="N6" s="8">
        <f t="shared" ref="N6" si="4">SUM(M6,L6)</f>
        <v>27074.800000000003</v>
      </c>
      <c r="O6" s="8">
        <v>23284.400000000001</v>
      </c>
      <c r="P6" s="9">
        <f t="shared" ref="P6" si="5">N6-O6</f>
        <v>3790.4000000000015</v>
      </c>
    </row>
    <row r="7" spans="1:16" ht="24" x14ac:dyDescent="0.3">
      <c r="A7" s="1" t="s">
        <v>5</v>
      </c>
      <c r="B7" s="3">
        <v>18347.7</v>
      </c>
      <c r="C7" s="1">
        <v>9303.7000000000007</v>
      </c>
      <c r="D7" s="1">
        <f t="shared" si="3"/>
        <v>27651.4</v>
      </c>
      <c r="E7" s="2">
        <v>25555.4</v>
      </c>
      <c r="F7" s="1">
        <f t="shared" si="2"/>
        <v>2096</v>
      </c>
      <c r="H7" s="7"/>
      <c r="I7" s="7"/>
      <c r="K7" s="1"/>
      <c r="L7" s="8"/>
      <c r="M7" s="8"/>
      <c r="N7" s="8"/>
      <c r="O7" s="8"/>
      <c r="P7" s="9"/>
    </row>
    <row r="8" spans="1:16" ht="24" x14ac:dyDescent="0.3">
      <c r="A8" s="4" t="s">
        <v>6</v>
      </c>
      <c r="B8" s="5">
        <v>17850.400000000001</v>
      </c>
      <c r="C8" s="4">
        <v>9314.1</v>
      </c>
      <c r="D8" s="4">
        <f t="shared" si="3"/>
        <v>27164.5</v>
      </c>
      <c r="E8" s="6">
        <v>25134.400000000001</v>
      </c>
      <c r="F8" s="4">
        <f t="shared" si="2"/>
        <v>2030.0999999999985</v>
      </c>
      <c r="H8" s="7"/>
      <c r="I8" s="7"/>
      <c r="K8" s="1"/>
      <c r="L8" s="8"/>
      <c r="M8" s="8"/>
      <c r="N8" s="8"/>
      <c r="O8" s="8"/>
      <c r="P8" s="9"/>
    </row>
    <row r="9" spans="1:16" ht="24" x14ac:dyDescent="0.3">
      <c r="A9" s="1" t="s">
        <v>7</v>
      </c>
      <c r="B9" s="3">
        <v>18236.3</v>
      </c>
      <c r="C9" s="1">
        <v>9325</v>
      </c>
      <c r="D9" s="1">
        <f t="shared" si="3"/>
        <v>27561.3</v>
      </c>
      <c r="E9" s="2">
        <v>25797.4</v>
      </c>
      <c r="F9" s="1">
        <f t="shared" si="2"/>
        <v>1763.8999999999978</v>
      </c>
      <c r="H9" s="7"/>
      <c r="I9" s="7"/>
      <c r="K9" s="1"/>
      <c r="L9" s="8"/>
      <c r="M9" s="8"/>
      <c r="N9" s="8"/>
      <c r="O9" s="8"/>
      <c r="P9" s="9"/>
    </row>
    <row r="10" spans="1:16" ht="24" x14ac:dyDescent="0.3">
      <c r="A10" s="1" t="s">
        <v>8</v>
      </c>
      <c r="B10" s="3">
        <v>18641.400000000001</v>
      </c>
      <c r="C10" s="1">
        <v>8983.7000000000007</v>
      </c>
      <c r="D10" s="1">
        <f t="shared" si="3"/>
        <v>27625.100000000002</v>
      </c>
      <c r="E10" s="2">
        <v>26463.1</v>
      </c>
      <c r="F10" s="1">
        <f t="shared" si="2"/>
        <v>1162.0000000000036</v>
      </c>
      <c r="H10" s="7"/>
      <c r="I10" s="7"/>
      <c r="K10" s="1" t="s">
        <v>23</v>
      </c>
      <c r="L10" s="8">
        <v>9508.7000000000007</v>
      </c>
      <c r="M10" s="8">
        <v>17333.8</v>
      </c>
      <c r="N10" s="8">
        <f t="shared" ref="N10" si="6">SUM(L10,M10)</f>
        <v>26842.5</v>
      </c>
      <c r="O10" s="8">
        <v>25272.6</v>
      </c>
      <c r="P10" s="9">
        <f t="shared" ref="P10" si="7">N10-O10</f>
        <v>1569.9000000000015</v>
      </c>
    </row>
    <row r="11" spans="1:16" ht="24" x14ac:dyDescent="0.3">
      <c r="A11" s="1" t="s">
        <v>9</v>
      </c>
      <c r="B11" s="3">
        <v>18107.3</v>
      </c>
      <c r="C11" s="1">
        <v>9364.2999999999993</v>
      </c>
      <c r="D11" s="1">
        <f t="shared" si="3"/>
        <v>27471.599999999999</v>
      </c>
      <c r="E11" s="2">
        <v>26256.1</v>
      </c>
      <c r="F11" s="1">
        <f t="shared" si="2"/>
        <v>1215.5</v>
      </c>
      <c r="H11" s="7"/>
      <c r="I11" s="7"/>
      <c r="K11" s="1"/>
      <c r="L11" s="8"/>
      <c r="M11" s="8"/>
      <c r="N11" s="8"/>
      <c r="O11" s="8"/>
      <c r="P11" s="9"/>
    </row>
    <row r="12" spans="1:16" ht="24" x14ac:dyDescent="0.3">
      <c r="A12" s="4" t="s">
        <v>10</v>
      </c>
      <c r="B12" s="5">
        <v>17938</v>
      </c>
      <c r="C12" s="4">
        <v>9327.6</v>
      </c>
      <c r="D12" s="4">
        <f t="shared" si="3"/>
        <v>27265.599999999999</v>
      </c>
      <c r="E12" s="6">
        <v>26056.400000000001</v>
      </c>
      <c r="F12" s="4">
        <f t="shared" si="2"/>
        <v>1209.1999999999971</v>
      </c>
      <c r="H12" s="7"/>
      <c r="I12" s="7"/>
      <c r="K12" s="1"/>
      <c r="L12" s="8"/>
      <c r="M12" s="8"/>
      <c r="N12" s="8"/>
      <c r="O12" s="8"/>
      <c r="P12" s="9"/>
    </row>
    <row r="13" spans="1:16" ht="24" x14ac:dyDescent="0.3">
      <c r="A13" s="1" t="s">
        <v>26</v>
      </c>
      <c r="B13" s="3">
        <v>18288.099999999999</v>
      </c>
      <c r="C13" s="1">
        <v>9293.5</v>
      </c>
      <c r="D13" s="1">
        <f t="shared" si="3"/>
        <v>27581.599999999999</v>
      </c>
      <c r="E13" s="2">
        <v>26497.4</v>
      </c>
      <c r="F13" s="1">
        <f t="shared" si="2"/>
        <v>1084.1999999999971</v>
      </c>
      <c r="H13" s="7"/>
      <c r="I13" s="7"/>
      <c r="K13" s="1"/>
      <c r="L13" s="8"/>
      <c r="M13" s="8"/>
      <c r="N13" s="8"/>
      <c r="O13" s="8"/>
      <c r="P13" s="9"/>
    </row>
    <row r="14" spans="1:16" ht="24" x14ac:dyDescent="0.3">
      <c r="A14" s="1" t="s">
        <v>11</v>
      </c>
      <c r="B14" s="3">
        <v>18857.599999999999</v>
      </c>
      <c r="C14" s="1">
        <v>9661.2000000000007</v>
      </c>
      <c r="D14" s="1">
        <f t="shared" si="3"/>
        <v>28518.799999999999</v>
      </c>
      <c r="E14" s="2">
        <v>25635.4</v>
      </c>
      <c r="F14" s="1">
        <f t="shared" si="2"/>
        <v>2883.3999999999978</v>
      </c>
      <c r="H14" s="7"/>
      <c r="I14" s="7"/>
      <c r="K14" s="1" t="s">
        <v>25</v>
      </c>
      <c r="L14" s="8">
        <v>9564.1</v>
      </c>
      <c r="M14" s="8">
        <v>18182.599999999999</v>
      </c>
      <c r="N14" s="8">
        <f t="shared" ref="N14" si="8">SUM(M14,L14)</f>
        <v>27746.699999999997</v>
      </c>
      <c r="O14" s="8">
        <v>23230.5</v>
      </c>
      <c r="P14" s="9">
        <f t="shared" ref="P14" si="9">N14-O14</f>
        <v>4516.1999999999971</v>
      </c>
    </row>
    <row r="15" spans="1:16" ht="24" x14ac:dyDescent="0.3">
      <c r="A15" s="1" t="s">
        <v>12</v>
      </c>
      <c r="B15" s="3">
        <v>18529.7</v>
      </c>
      <c r="C15" s="1">
        <v>9627.2000000000007</v>
      </c>
      <c r="D15" s="1">
        <f t="shared" si="3"/>
        <v>28156.9</v>
      </c>
      <c r="E15" s="2">
        <v>25690.5</v>
      </c>
      <c r="F15" s="1">
        <f t="shared" si="2"/>
        <v>2466.4000000000015</v>
      </c>
      <c r="H15" s="7"/>
      <c r="I15" s="7"/>
    </row>
    <row r="16" spans="1:16" ht="24" x14ac:dyDescent="0.3">
      <c r="A16" s="4" t="s">
        <v>13</v>
      </c>
      <c r="B16" s="5">
        <v>18569.8</v>
      </c>
      <c r="C16" s="4">
        <v>9500.6</v>
      </c>
      <c r="D16" s="4">
        <f t="shared" si="3"/>
        <v>28070.400000000001</v>
      </c>
      <c r="E16" s="6">
        <v>25986.799999999999</v>
      </c>
      <c r="F16" s="4">
        <f t="shared" si="2"/>
        <v>2083.6000000000022</v>
      </c>
      <c r="H16" s="7"/>
      <c r="I16" s="7"/>
    </row>
    <row r="17" spans="1:9" ht="24" x14ac:dyDescent="0.3">
      <c r="A17" s="1" t="s">
        <v>14</v>
      </c>
      <c r="B17" s="3">
        <v>18876.099999999999</v>
      </c>
      <c r="C17" s="1">
        <v>9422.2000000000007</v>
      </c>
      <c r="D17" s="1">
        <f t="shared" si="3"/>
        <v>28298.3</v>
      </c>
      <c r="E17" s="2">
        <v>25193.4</v>
      </c>
      <c r="F17" s="1">
        <f t="shared" si="2"/>
        <v>3104.8999999999978</v>
      </c>
      <c r="H17" s="7"/>
      <c r="I1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2020-10-27T06:45:18Z</dcterms:created>
  <dcterms:modified xsi:type="dcterms:W3CDTF">2020-10-28T06:53:58Z</dcterms:modified>
</cp:coreProperties>
</file>